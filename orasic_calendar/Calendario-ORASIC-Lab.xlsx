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io 30 dí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<sst xmlns="http://schemas.openxmlformats.org/spreadsheetml/2006/main" count="160" uniqueCount="81">
  <si>
    <t xml:space="preserve">ORASIC Lab — Calendario de contenido diario (TikTok / Instagram)</t>
  </si>
  <si>
    <t xml:space="preserve">Fecha de inicio (Día 1):</t>
  </si>
  <si>
    <t xml:space="preserve">Publicados:</t>
  </si>
  <si>
    <t xml:space="preserve">Día</t>
  </si>
  <si>
    <t xml:space="preserve">Fecha</t>
  </si>
  <si>
    <t xml:space="preserve">Pilar</t>
  </si>
  <si>
    <t xml:space="preserve">Rubro / Tema</t>
  </si>
  <si>
    <t xml:space="preserve">Idea / Gancho</t>
  </si>
  <si>
    <t xml:space="preserve">Formato</t>
  </si>
  <si>
    <t xml:space="preserve">Estado</t>
  </si>
  <si>
    <t xml:space="preserve">Mito vs Realidad</t>
  </si>
  <si>
    <t xml:space="preserve">Costo y tiempo</t>
  </si>
  <si>
    <t xml:space="preserve">Ya publicado: “cuesta miles y tarda meses” vs. IA en días</t>
  </si>
  <si>
    <t xml:space="preserve">Narrado</t>
  </si>
  <si>
    <t xml:space="preserve">Publicado</t>
  </si>
  <si>
    <t xml:space="preserve">Antes/Después</t>
  </si>
  <si>
    <t xml:space="preserve">Reservas + cobro (pyme genérico)</t>
  </si>
  <si>
    <t xml:space="preserve">Ya publicado: WhatsApp desordenado vs. app que agenda y cobra</t>
  </si>
  <si>
    <t xml:space="preserve">Números</t>
  </si>
  <si>
    <t xml:space="preserve">+100 apps, 12 rubros, 2 países</t>
  </si>
  <si>
    <t xml:space="preserve">Ya publicado: prueba social en cifras</t>
  </si>
  <si>
    <t xml:space="preserve">Tips</t>
  </si>
  <si>
    <t xml:space="preserve">Señales de alerta</t>
  </si>
  <si>
    <t xml:space="preserve">3 señales de que tu negocio necesita dejar el Excel</t>
  </si>
  <si>
    <t xml:space="preserve">Silencioso</t>
  </si>
  <si>
    <t xml:space="preserve">Pendiente</t>
  </si>
  <si>
    <t xml:space="preserve">Ventas B2B</t>
  </si>
  <si>
    <t xml:space="preserve">De hojas de cálculo con leads olvidados a un seguimiento que no se cae</t>
  </si>
  <si>
    <t xml:space="preserve">Rubro del día</t>
  </si>
  <si>
    <t xml:space="preserve">Belleza</t>
  </si>
  <si>
    <t xml:space="preserve">Fichas de clientas, reservas e historial en una sola app</t>
  </si>
  <si>
    <t xml:space="preserve">Detrás de cámara</t>
  </si>
  <si>
    <t xml:space="preserve">Proceso interno</t>
  </si>
  <si>
    <t xml:space="preserve">Así se ve el día 1 de un proyecto en ORASIC Lab</t>
  </si>
  <si>
    <t xml:space="preserve">Necesito programadores propios</t>
  </si>
  <si>
    <t xml:space="preserve">Mito: hay que armar equipo técnico. Realidad: nosotros lo hacemos con IA</t>
  </si>
  <si>
    <t xml:space="preserve">Retail y moda</t>
  </si>
  <si>
    <t xml:space="preserve">De un cuaderno de ventas a un dashboard que se actualiza solo</t>
  </si>
  <si>
    <t xml:space="preserve">Objeciones</t>
  </si>
  <si>
    <t xml:space="preserve">Negocio pequeño</t>
  </si>
  <si>
    <t xml:space="preserve">¿Y si mi negocio es muy chico para una app?</t>
  </si>
  <si>
    <t xml:space="preserve">Salud</t>
  </si>
  <si>
    <t xml:space="preserve">Recordatorios de citas e historial de pacientes, sin líos de agenda</t>
  </si>
  <si>
    <t xml:space="preserve">Tiempo de entrega</t>
  </si>
  <si>
    <t xml:space="preserve">De meses a días: así de rápido sale una primera versión</t>
  </si>
  <si>
    <t xml:space="preserve">Automatización con criterio</t>
  </si>
  <si>
    <t xml:space="preserve">Cómo automatizar sin perder el trato humano con tus clientes</t>
  </si>
  <si>
    <t xml:space="preserve">Educación</t>
  </si>
  <si>
    <t xml:space="preserve">De matrículas por WhatsApp a un seguimiento de alumnos ordenado</t>
  </si>
  <si>
    <t xml:space="preserve">Solo para empresas grandes</t>
  </si>
  <si>
    <t xml:space="preserve">Mito: esto es para corporativos. Realidad: pymes son la mayoría de nuestros casos</t>
  </si>
  <si>
    <t xml:space="preserve">Deporte</t>
  </si>
  <si>
    <t xml:space="preserve">Reservas de canchas y clases sin depender del chat</t>
  </si>
  <si>
    <t xml:space="preserve">Cómo priorizamos</t>
  </si>
  <si>
    <t xml:space="preserve">Cómo decidimos qué construir primero en un proyecto</t>
  </si>
  <si>
    <t xml:space="preserve">Marketing y contenido</t>
  </si>
  <si>
    <t xml:space="preserve">De un calendario de posts en notas sueltas a un flujo con seguimiento de leads</t>
  </si>
  <si>
    <t xml:space="preserve">No sé de tecnología</t>
  </si>
  <si>
    <t xml:space="preserve">¿Y si no entiendo nada de tecnología? Así te acompañamos igual</t>
  </si>
  <si>
    <t xml:space="preserve">Ahorro vs. agencia tradicional</t>
  </si>
  <si>
    <t xml:space="preserve">Por qué construir con IA baja el costo sin bajar la calidad</t>
  </si>
  <si>
    <t xml:space="preserve">Coaching y liderazgo</t>
  </si>
  <si>
    <t xml:space="preserve">Agenda de sesiones y seguimiento de clientes en un solo lugar</t>
  </si>
  <si>
    <t xml:space="preserve">Respuesta rápida</t>
  </si>
  <si>
    <t xml:space="preserve">La señal #1 de que estás perdiendo ventas por no responder a tiempo</t>
  </si>
  <si>
    <t xml:space="preserve">Productividad interna</t>
  </si>
  <si>
    <t xml:space="preserve">De tareas en chats sueltos a un flujo de trabajo que el equipo sí usa</t>
  </si>
  <si>
    <t xml:space="preserve">Pierdo el trato personal</t>
  </si>
  <si>
    <t xml:space="preserve">Mito: automatizar es perder cercanía. Realidad: libera tiempo para atender mejor</t>
  </si>
  <si>
    <t xml:space="preserve">Institucional y corporativo</t>
  </si>
  <si>
    <t xml:space="preserve">Dashboards de gestión para equipos que necesitan ver todo en un lugar</t>
  </si>
  <si>
    <t xml:space="preserve">Qué pasa después del primer mensaje</t>
  </si>
  <si>
    <t xml:space="preserve">Qué pasa apenas nos escribes por WhatsApp</t>
  </si>
  <si>
    <t xml:space="preserve">Minería y conflictos sociales</t>
  </si>
  <si>
    <t xml:space="preserve">De reportes dispersos a seguimiento centralizado de incidencias</t>
  </si>
  <si>
    <t xml:space="preserve">Tiempo real de entrega</t>
  </si>
  <si>
    <t xml:space="preserve">¿Cuánto se demora en verdad? Sin promesas exageradas</t>
  </si>
  <si>
    <t xml:space="preserve">Cierre de mes</t>
  </si>
  <si>
    <t xml:space="preserve">Resumen del mes: cifras reales, sin inventar nada</t>
  </si>
  <si>
    <t xml:space="preserve">Aprendizajes</t>
  </si>
  <si>
    <t xml:space="preserve">Lo que aprendimos construyendo más de 100 aplicaciones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</si>
</sst>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A78BF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6A34A"/>
      <name val="Arial"/>
      <family val="0"/>
      <charset val="1"/>
    </font>
    <font>
      <sz val="11"/>
      <color rgb="FF94A3B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DE7"/>
        <bgColor rgb="FFFFFFFF"/>
      </patternFill>
    </fill>
    <fill>
      <patternFill patternType="solid">
        <fgColor rgb="FF1E293B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78BFA"/>
      <rgbColor rgb="FF993366"/>
      <rgbColor rgb="FFFFFDE7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4A3B8"/>
      <rgbColor rgb="FF003366"/>
      <rgbColor rgb="FF16A34A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50"/>
    <col collapsed="false" customWidth="true" hidden="false" outlineLevel="0" max="6" min="6" style="0" width="13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3" t="n">
        <v>46232</v>
      </c>
      <c r="D2" s="2" t="s">
        <v>2</v>
      </c>
      <c r="E2" s="0" t="str">
        <f aca="false">COUNTIF(G5:G34,"Publicado")&amp;" / 30"</f>
        <v>3 / 30</v>
      </c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customFormat="false" ht="15" hidden="false" customHeight="false" outlineLevel="0" collapsed="false">
      <c r="A5" s="5" t="n">
        <v>1</v>
      </c>
      <c r="B5" s="6" t="n">
        <f aca="false">$B$2+0</f>
        <v>46232</v>
      </c>
      <c r="C5" s="7" t="s">
        <v>10</v>
      </c>
      <c r="D5" s="7" t="s">
        <v>11</v>
      </c>
      <c r="E5" s="8" t="s">
        <v>12</v>
      </c>
      <c r="F5" s="7" t="s">
        <v>13</v>
      </c>
      <c r="G5" s="9" t="s">
        <v>14</v>
      </c>
    </row>
    <row r="6" customFormat="false" ht="23.85" hidden="false" customHeight="false" outlineLevel="0" collapsed="false">
      <c r="A6" s="5" t="n">
        <v>2</v>
      </c>
      <c r="B6" s="6" t="n">
        <f aca="false">$B$2+1</f>
        <v>46233</v>
      </c>
      <c r="C6" s="7" t="s">
        <v>15</v>
      </c>
      <c r="D6" s="7" t="s">
        <v>16</v>
      </c>
      <c r="E6" s="8" t="s">
        <v>17</v>
      </c>
      <c r="F6" s="7" t="s">
        <v>13</v>
      </c>
      <c r="G6" s="9" t="s">
        <v>14</v>
      </c>
    </row>
    <row r="7" customFormat="false" ht="15" hidden="false" customHeight="false" outlineLevel="0" collapsed="false">
      <c r="A7" s="5" t="n">
        <v>3</v>
      </c>
      <c r="B7" s="6" t="n">
        <f aca="false">$B$2+2</f>
        <v>46234</v>
      </c>
      <c r="C7" s="7" t="s">
        <v>18</v>
      </c>
      <c r="D7" s="7" t="s">
        <v>19</v>
      </c>
      <c r="E7" s="8" t="s">
        <v>20</v>
      </c>
      <c r="F7" s="7" t="s">
        <v>13</v>
      </c>
      <c r="G7" s="9" t="s">
        <v>14</v>
      </c>
    </row>
    <row r="8" customFormat="false" ht="15" hidden="false" customHeight="false" outlineLevel="0" collapsed="false">
      <c r="A8" s="5" t="n">
        <v>4</v>
      </c>
      <c r="B8" s="6" t="n">
        <f aca="false">$B$2+3</f>
        <v>46235</v>
      </c>
      <c r="C8" s="7" t="s">
        <v>21</v>
      </c>
      <c r="D8" s="7" t="s">
        <v>22</v>
      </c>
      <c r="E8" s="8" t="s">
        <v>23</v>
      </c>
      <c r="F8" s="7" t="s">
        <v>24</v>
      </c>
      <c r="G8" s="10" t="s">
        <v>25</v>
      </c>
    </row>
    <row r="9" customFormat="false" ht="23.85" hidden="false" customHeight="false" outlineLevel="0" collapsed="false">
      <c r="A9" s="5" t="n">
        <v>5</v>
      </c>
      <c r="B9" s="6" t="n">
        <f aca="false">$B$2+4</f>
        <v>46236</v>
      </c>
      <c r="C9" s="7" t="s">
        <v>15</v>
      </c>
      <c r="D9" s="7" t="s">
        <v>26</v>
      </c>
      <c r="E9" s="8" t="s">
        <v>27</v>
      </c>
      <c r="F9" s="7" t="s">
        <v>24</v>
      </c>
      <c r="G9" s="10" t="s">
        <v>25</v>
      </c>
    </row>
    <row r="10" customFormat="false" ht="15" hidden="false" customHeight="false" outlineLevel="0" collapsed="false">
      <c r="A10" s="5" t="n">
        <v>6</v>
      </c>
      <c r="B10" s="6" t="n">
        <f aca="false">$B$2+5</f>
        <v>46237</v>
      </c>
      <c r="C10" s="7" t="s">
        <v>28</v>
      </c>
      <c r="D10" s="7" t="s">
        <v>29</v>
      </c>
      <c r="E10" s="8" t="s">
        <v>30</v>
      </c>
      <c r="F10" s="7" t="s">
        <v>24</v>
      </c>
      <c r="G10" s="10" t="s">
        <v>25</v>
      </c>
    </row>
    <row r="11" customFormat="false" ht="15" hidden="false" customHeight="false" outlineLevel="0" collapsed="false">
      <c r="A11" s="5" t="n">
        <v>7</v>
      </c>
      <c r="B11" s="6" t="n">
        <f aca="false">$B$2+6</f>
        <v>46238</v>
      </c>
      <c r="C11" s="7" t="s">
        <v>31</v>
      </c>
      <c r="D11" s="7" t="s">
        <v>32</v>
      </c>
      <c r="E11" s="8" t="s">
        <v>33</v>
      </c>
      <c r="F11" s="7" t="s">
        <v>13</v>
      </c>
      <c r="G11" s="10" t="s">
        <v>25</v>
      </c>
    </row>
    <row r="12" customFormat="false" ht="23.85" hidden="false" customHeight="false" outlineLevel="0" collapsed="false">
      <c r="A12" s="5" t="n">
        <v>8</v>
      </c>
      <c r="B12" s="6" t="n">
        <f aca="false">$B$2+7</f>
        <v>46239</v>
      </c>
      <c r="C12" s="7" t="s">
        <v>10</v>
      </c>
      <c r="D12" s="7" t="s">
        <v>34</v>
      </c>
      <c r="E12" s="8" t="s">
        <v>35</v>
      </c>
      <c r="F12" s="7" t="s">
        <v>24</v>
      </c>
      <c r="G12" s="10" t="s">
        <v>25</v>
      </c>
    </row>
    <row r="13" customFormat="false" ht="23.85" hidden="false" customHeight="false" outlineLevel="0" collapsed="false">
      <c r="A13" s="5" t="n">
        <v>9</v>
      </c>
      <c r="B13" s="6" t="n">
        <f aca="false">$B$2+8</f>
        <v>46240</v>
      </c>
      <c r="C13" s="7" t="s">
        <v>15</v>
      </c>
      <c r="D13" s="7" t="s">
        <v>36</v>
      </c>
      <c r="E13" s="8" t="s">
        <v>37</v>
      </c>
      <c r="F13" s="7" t="s">
        <v>24</v>
      </c>
      <c r="G13" s="10" t="s">
        <v>25</v>
      </c>
    </row>
    <row r="14" customFormat="false" ht="15" hidden="false" customHeight="false" outlineLevel="0" collapsed="false">
      <c r="A14" s="5" t="n">
        <v>10</v>
      </c>
      <c r="B14" s="6" t="n">
        <f aca="false">$B$2+9</f>
        <v>46241</v>
      </c>
      <c r="C14" s="7" t="s">
        <v>38</v>
      </c>
      <c r="D14" s="7" t="s">
        <v>39</v>
      </c>
      <c r="E14" s="8" t="s">
        <v>40</v>
      </c>
      <c r="F14" s="7" t="s">
        <v>13</v>
      </c>
      <c r="G14" s="10" t="s">
        <v>25</v>
      </c>
    </row>
    <row r="15" customFormat="false" ht="23.85" hidden="false" customHeight="false" outlineLevel="0" collapsed="false">
      <c r="A15" s="5" t="n">
        <v>11</v>
      </c>
      <c r="B15" s="6" t="n">
        <f aca="false">$B$2+10</f>
        <v>46242</v>
      </c>
      <c r="C15" s="7" t="s">
        <v>28</v>
      </c>
      <c r="D15" s="7" t="s">
        <v>41</v>
      </c>
      <c r="E15" s="8" t="s">
        <v>42</v>
      </c>
      <c r="F15" s="7" t="s">
        <v>24</v>
      </c>
      <c r="G15" s="10" t="s">
        <v>25</v>
      </c>
    </row>
    <row r="16" customFormat="false" ht="15" hidden="false" customHeight="false" outlineLevel="0" collapsed="false">
      <c r="A16" s="5" t="n">
        <v>12</v>
      </c>
      <c r="B16" s="6" t="n">
        <f aca="false">$B$2+11</f>
        <v>46243</v>
      </c>
      <c r="C16" s="7" t="s">
        <v>18</v>
      </c>
      <c r="D16" s="7" t="s">
        <v>43</v>
      </c>
      <c r="E16" s="8" t="s">
        <v>44</v>
      </c>
      <c r="F16" s="7" t="s">
        <v>24</v>
      </c>
      <c r="G16" s="10" t="s">
        <v>25</v>
      </c>
    </row>
    <row r="17" customFormat="false" ht="15" hidden="false" customHeight="false" outlineLevel="0" collapsed="false">
      <c r="A17" s="5" t="n">
        <v>13</v>
      </c>
      <c r="B17" s="6" t="n">
        <f aca="false">$B$2+12</f>
        <v>46244</v>
      </c>
      <c r="C17" s="7" t="s">
        <v>21</v>
      </c>
      <c r="D17" s="7" t="s">
        <v>45</v>
      </c>
      <c r="E17" s="8" t="s">
        <v>46</v>
      </c>
      <c r="F17" s="7" t="s">
        <v>13</v>
      </c>
      <c r="G17" s="10" t="s">
        <v>25</v>
      </c>
    </row>
    <row r="18" customFormat="false" ht="23.85" hidden="false" customHeight="false" outlineLevel="0" collapsed="false">
      <c r="A18" s="5" t="n">
        <v>14</v>
      </c>
      <c r="B18" s="6" t="n">
        <f aca="false">$B$2+13</f>
        <v>46245</v>
      </c>
      <c r="C18" s="7" t="s">
        <v>15</v>
      </c>
      <c r="D18" s="7" t="s">
        <v>47</v>
      </c>
      <c r="E18" s="8" t="s">
        <v>48</v>
      </c>
      <c r="F18" s="7" t="s">
        <v>24</v>
      </c>
      <c r="G18" s="10" t="s">
        <v>25</v>
      </c>
    </row>
    <row r="19" customFormat="false" ht="23.85" hidden="false" customHeight="false" outlineLevel="0" collapsed="false">
      <c r="A19" s="5" t="n">
        <v>15</v>
      </c>
      <c r="B19" s="6" t="n">
        <f aca="false">$B$2+14</f>
        <v>46246</v>
      </c>
      <c r="C19" s="7" t="s">
        <v>10</v>
      </c>
      <c r="D19" s="7" t="s">
        <v>49</v>
      </c>
      <c r="E19" s="8" t="s">
        <v>50</v>
      </c>
      <c r="F19" s="7" t="s">
        <v>24</v>
      </c>
      <c r="G19" s="10" t="s">
        <v>25</v>
      </c>
    </row>
    <row r="20" customFormat="false" ht="15" hidden="false" customHeight="false" outlineLevel="0" collapsed="false">
      <c r="A20" s="5" t="n">
        <v>16</v>
      </c>
      <c r="B20" s="6" t="n">
        <f aca="false">$B$2+15</f>
        <v>46247</v>
      </c>
      <c r="C20" s="7" t="s">
        <v>28</v>
      </c>
      <c r="D20" s="7" t="s">
        <v>51</v>
      </c>
      <c r="E20" s="8" t="s">
        <v>52</v>
      </c>
      <c r="F20" s="7" t="s">
        <v>24</v>
      </c>
      <c r="G20" s="10" t="s">
        <v>25</v>
      </c>
    </row>
    <row r="21" customFormat="false" ht="15" hidden="false" customHeight="false" outlineLevel="0" collapsed="false">
      <c r="A21" s="5" t="n">
        <v>17</v>
      </c>
      <c r="B21" s="6" t="n">
        <f aca="false">$B$2+16</f>
        <v>46248</v>
      </c>
      <c r="C21" s="7" t="s">
        <v>31</v>
      </c>
      <c r="D21" s="7" t="s">
        <v>53</v>
      </c>
      <c r="E21" s="8" t="s">
        <v>54</v>
      </c>
      <c r="F21" s="7" t="s">
        <v>13</v>
      </c>
      <c r="G21" s="10" t="s">
        <v>25</v>
      </c>
    </row>
    <row r="22" customFormat="false" ht="23.85" hidden="false" customHeight="false" outlineLevel="0" collapsed="false">
      <c r="A22" s="5" t="n">
        <v>18</v>
      </c>
      <c r="B22" s="6" t="n">
        <f aca="false">$B$2+17</f>
        <v>46249</v>
      </c>
      <c r="C22" s="7" t="s">
        <v>15</v>
      </c>
      <c r="D22" s="7" t="s">
        <v>55</v>
      </c>
      <c r="E22" s="8" t="s">
        <v>56</v>
      </c>
      <c r="F22" s="7" t="s">
        <v>24</v>
      </c>
      <c r="G22" s="10" t="s">
        <v>25</v>
      </c>
    </row>
    <row r="23" customFormat="false" ht="23.85" hidden="false" customHeight="false" outlineLevel="0" collapsed="false">
      <c r="A23" s="5" t="n">
        <v>19</v>
      </c>
      <c r="B23" s="6" t="n">
        <f aca="false">$B$2+18</f>
        <v>46250</v>
      </c>
      <c r="C23" s="7" t="s">
        <v>38</v>
      </c>
      <c r="D23" s="7" t="s">
        <v>57</v>
      </c>
      <c r="E23" s="8" t="s">
        <v>58</v>
      </c>
      <c r="F23" s="7" t="s">
        <v>13</v>
      </c>
      <c r="G23" s="10" t="s">
        <v>25</v>
      </c>
    </row>
    <row r="24" customFormat="false" ht="15" hidden="false" customHeight="false" outlineLevel="0" collapsed="false">
      <c r="A24" s="5" t="n">
        <v>20</v>
      </c>
      <c r="B24" s="6" t="n">
        <f aca="false">$B$2+19</f>
        <v>46251</v>
      </c>
      <c r="C24" s="7" t="s">
        <v>18</v>
      </c>
      <c r="D24" s="7" t="s">
        <v>59</v>
      </c>
      <c r="E24" s="8" t="s">
        <v>60</v>
      </c>
      <c r="F24" s="7" t="s">
        <v>24</v>
      </c>
      <c r="G24" s="10" t="s">
        <v>25</v>
      </c>
    </row>
    <row r="25" customFormat="false" ht="23.85" hidden="false" customHeight="false" outlineLevel="0" collapsed="false">
      <c r="A25" s="5" t="n">
        <v>21</v>
      </c>
      <c r="B25" s="6" t="n">
        <f aca="false">$B$2+20</f>
        <v>46252</v>
      </c>
      <c r="C25" s="7" t="s">
        <v>28</v>
      </c>
      <c r="D25" s="7" t="s">
        <v>61</v>
      </c>
      <c r="E25" s="8" t="s">
        <v>62</v>
      </c>
      <c r="F25" s="7" t="s">
        <v>24</v>
      </c>
      <c r="G25" s="10" t="s">
        <v>25</v>
      </c>
    </row>
    <row r="26" customFormat="false" ht="23.85" hidden="false" customHeight="false" outlineLevel="0" collapsed="false">
      <c r="A26" s="5" t="n">
        <v>22</v>
      </c>
      <c r="B26" s="6" t="n">
        <f aca="false">$B$2+21</f>
        <v>46253</v>
      </c>
      <c r="C26" s="7" t="s">
        <v>21</v>
      </c>
      <c r="D26" s="7" t="s">
        <v>63</v>
      </c>
      <c r="E26" s="8" t="s">
        <v>64</v>
      </c>
      <c r="F26" s="7" t="s">
        <v>24</v>
      </c>
      <c r="G26" s="10" t="s">
        <v>25</v>
      </c>
    </row>
    <row r="27" customFormat="false" ht="23.85" hidden="false" customHeight="false" outlineLevel="0" collapsed="false">
      <c r="A27" s="5" t="n">
        <v>23</v>
      </c>
      <c r="B27" s="6" t="n">
        <f aca="false">$B$2+22</f>
        <v>46254</v>
      </c>
      <c r="C27" s="7" t="s">
        <v>15</v>
      </c>
      <c r="D27" s="7" t="s">
        <v>65</v>
      </c>
      <c r="E27" s="8" t="s">
        <v>66</v>
      </c>
      <c r="F27" s="7" t="s">
        <v>24</v>
      </c>
      <c r="G27" s="10" t="s">
        <v>25</v>
      </c>
    </row>
    <row r="28" customFormat="false" ht="23.85" hidden="false" customHeight="false" outlineLevel="0" collapsed="false">
      <c r="A28" s="5" t="n">
        <v>24</v>
      </c>
      <c r="B28" s="6" t="n">
        <f aca="false">$B$2+23</f>
        <v>46255</v>
      </c>
      <c r="C28" s="7" t="s">
        <v>10</v>
      </c>
      <c r="D28" s="7" t="s">
        <v>67</v>
      </c>
      <c r="E28" s="8" t="s">
        <v>68</v>
      </c>
      <c r="F28" s="7" t="s">
        <v>13</v>
      </c>
      <c r="G28" s="10" t="s">
        <v>25</v>
      </c>
    </row>
    <row r="29" customFormat="false" ht="23.85" hidden="false" customHeight="false" outlineLevel="0" collapsed="false">
      <c r="A29" s="5" t="n">
        <v>25</v>
      </c>
      <c r="B29" s="6" t="n">
        <f aca="false">$B$2+24</f>
        <v>46256</v>
      </c>
      <c r="C29" s="7" t="s">
        <v>28</v>
      </c>
      <c r="D29" s="7" t="s">
        <v>69</v>
      </c>
      <c r="E29" s="8" t="s">
        <v>70</v>
      </c>
      <c r="F29" s="7" t="s">
        <v>24</v>
      </c>
      <c r="G29" s="10" t="s">
        <v>25</v>
      </c>
    </row>
    <row r="30" customFormat="false" ht="15" hidden="false" customHeight="false" outlineLevel="0" collapsed="false">
      <c r="A30" s="5" t="n">
        <v>26</v>
      </c>
      <c r="B30" s="6" t="n">
        <f aca="false">$B$2+25</f>
        <v>46257</v>
      </c>
      <c r="C30" s="7" t="s">
        <v>31</v>
      </c>
      <c r="D30" s="7" t="s">
        <v>71</v>
      </c>
      <c r="E30" s="8" t="s">
        <v>72</v>
      </c>
      <c r="F30" s="7" t="s">
        <v>24</v>
      </c>
      <c r="G30" s="10" t="s">
        <v>25</v>
      </c>
    </row>
    <row r="31" customFormat="false" ht="23.85" hidden="false" customHeight="false" outlineLevel="0" collapsed="false">
      <c r="A31" s="5" t="n">
        <v>27</v>
      </c>
      <c r="B31" s="6" t="n">
        <f aca="false">$B$2+26</f>
        <v>46258</v>
      </c>
      <c r="C31" s="7" t="s">
        <v>15</v>
      </c>
      <c r="D31" s="7" t="s">
        <v>73</v>
      </c>
      <c r="E31" s="8" t="s">
        <v>74</v>
      </c>
      <c r="F31" s="7" t="s">
        <v>24</v>
      </c>
      <c r="G31" s="10" t="s">
        <v>25</v>
      </c>
    </row>
    <row r="32" customFormat="false" ht="15" hidden="false" customHeight="false" outlineLevel="0" collapsed="false">
      <c r="A32" s="5" t="n">
        <v>28</v>
      </c>
      <c r="B32" s="6" t="n">
        <f aca="false">$B$2+27</f>
        <v>46259</v>
      </c>
      <c r="C32" s="7" t="s">
        <v>38</v>
      </c>
      <c r="D32" s="7" t="s">
        <v>75</v>
      </c>
      <c r="E32" s="8" t="s">
        <v>76</v>
      </c>
      <c r="F32" s="7" t="s">
        <v>13</v>
      </c>
      <c r="G32" s="10" t="s">
        <v>25</v>
      </c>
    </row>
    <row r="33" customFormat="false" ht="15" hidden="false" customHeight="false" outlineLevel="0" collapsed="false">
      <c r="A33" s="5" t="n">
        <v>29</v>
      </c>
      <c r="B33" s="6" t="n">
        <f aca="false">$B$2+28</f>
        <v>46260</v>
      </c>
      <c r="C33" s="7" t="s">
        <v>18</v>
      </c>
      <c r="D33" s="7" t="s">
        <v>77</v>
      </c>
      <c r="E33" s="8" t="s">
        <v>78</v>
      </c>
      <c r="F33" s="7" t="s">
        <v>24</v>
      </c>
      <c r="G33" s="10" t="s">
        <v>25</v>
      </c>
    </row>
    <row r="34" customFormat="false" ht="15" hidden="false" customHeight="false" outlineLevel="0" collapsed="false">
      <c r="A34" s="5" t="n">
        <v>30</v>
      </c>
      <c r="B34" s="6" t="n">
        <f aca="false">$B$2+29</f>
        <v>46261</v>
      </c>
      <c r="C34" s="7" t="s">
        <v>21</v>
      </c>
      <c r="D34" s="7" t="s">
        <v>79</v>
      </c>
      <c r="E34" s="8" t="s">
        <v>80</v>
      </c>
      <c r="F34" s="7" t="s">
        <v>13</v>
      </c>
      <c r="G34" s="10" t="s">
        <v>25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2026-07-28T14:57:02Z</dcterms:created>
  <dc:creator>openpyxl</dc:creator>
  <dc:description/>
  <dc:language>en-US</dc:language>
  <cp:lastModifiedBy/>
  <dcterms:modified xsi:type="dcterms:W3CDTF">2026-07-28T14:57:02Z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